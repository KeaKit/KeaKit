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uija\OneDrive\Documentos\Nueva carpeta\KeaKit\docs\Preparing Project Launch\Entregable\"/>
    </mc:Choice>
  </mc:AlternateContent>
  <xr:revisionPtr revIDLastSave="0" documentId="13_ncr:1_{56CE84B9-D341-48FA-9FD0-D93D619969C1}" xr6:coauthVersionLast="47" xr6:coauthVersionMax="47" xr10:uidLastSave="{00000000-0000-0000-0000-000000000000}"/>
  <bookViews>
    <workbookView xWindow="-108" yWindow="-108" windowWidth="23256" windowHeight="13896" xr2:uid="{02C8C9D8-2F21-45BA-9A66-91BB45160C54}"/>
  </bookViews>
  <sheets>
    <sheet name="Contribución a los entregables" sheetId="1" r:id="rId1"/>
    <sheet name="Comentarios sobre #DP" sheetId="2" r:id="rId2"/>
    <sheet name="Comentarios sobre #S1" sheetId="3" r:id="rId3"/>
    <sheet name="Comentarios sobre #S2" sheetId="4" r:id="rId4"/>
    <sheet name="Comentarios sobre #S3" sheetId="5" r:id="rId5"/>
    <sheet name="Comentarios sobre #PPL"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c r="C29" i="1" s="1"/>
  <c r="G29" i="1" l="1"/>
  <c r="G30" i="1" s="1"/>
  <c r="F29" i="1"/>
  <c r="F30" i="1" s="1"/>
  <c r="E29" i="1"/>
  <c r="E30" i="1" s="1"/>
  <c r="D29" i="1"/>
  <c r="D30" i="1" s="1"/>
  <c r="C30" i="1"/>
</calcChain>
</file>

<file path=xl/sharedStrings.xml><?xml version="1.0" encoding="utf-8"?>
<sst xmlns="http://schemas.openxmlformats.org/spreadsheetml/2006/main" count="62" uniqueCount="60">
  <si>
    <t>IMPORTANTE:</t>
  </si>
  <si>
    <t>Devising a project (#DP)</t>
  </si>
  <si>
    <t>Sprint 1 (#S1)</t>
  </si>
  <si>
    <t>Sprint 2 (#S2)</t>
  </si>
  <si>
    <t>Sprint 3 (#S3)</t>
  </si>
  <si>
    <t>Preparing project launch (#PPL)</t>
  </si>
  <si>
    <t>Nombre</t>
  </si>
  <si>
    <t>Apellidos</t>
  </si>
  <si>
    <t>TOTAL Asignado</t>
  </si>
  <si>
    <t>Numero de Miembros</t>
  </si>
  <si>
    <t>Por Asignar</t>
  </si>
  <si>
    <t>La fila de TOTAL Asignado debe tener el valor 100% (resaltado en verde).</t>
  </si>
  <si>
    <t>Comentarios sobre DP</t>
  </si>
  <si>
    <t>Solo se permitirá una distribución asimétrica si se justifica en terminos de que una persona ha hecho una dedicacion en horas menora la esperada (10h semanales) y eso a provocado que no ha podido completar tareas que han debido ser reasignadas a otro miembro que, a su vez, ha tenido que hacer un sobreesfuerzo en horas para completarlas.</t>
  </si>
  <si>
    <t>En el caso de que la distribución sea asimetrica, hay que rellenar un comentario explicando la situación en la pestaña "Comentarios sobre XX" del entregable correspondiente.</t>
  </si>
  <si>
    <t>En cada entregable solo se puede actualizar la columna del entregable correspondiente SIN modificar la distribución de entregables anteriores.</t>
  </si>
  <si>
    <t xml:space="preserve"> AGUILAR MORCILLO</t>
  </si>
  <si>
    <t>MARTA</t>
  </si>
  <si>
    <t xml:space="preserve"> ÁLVAREZ RAYA</t>
  </si>
  <si>
    <t>MIGUEL</t>
  </si>
  <si>
    <t>ÁNGEL</t>
  </si>
  <si>
    <t>ISMAEL</t>
  </si>
  <si>
    <t>ADRIÁN MIGUEL</t>
  </si>
  <si>
    <t>LUIS EMMANUEL</t>
  </si>
  <si>
    <t>GUILLERMO</t>
  </si>
  <si>
    <t>CIRIA GONZALEZ</t>
  </si>
  <si>
    <t>CHAVEZ MALAVE</t>
  </si>
  <si>
    <t>CHABRERA RUBIO</t>
  </si>
  <si>
    <t>CARRASCO MKHAZNI</t>
  </si>
  <si>
    <t>BARAC PLOAE</t>
  </si>
  <si>
    <t xml:space="preserve">ENRIQUE NICOLAE </t>
  </si>
  <si>
    <t>AMO SÁNCHEZ</t>
  </si>
  <si>
    <t xml:space="preserve"> DE LA CALLE GONZÁLEZ</t>
  </si>
  <si>
    <t xml:space="preserve"> EL HAKIMY ETTORABI</t>
  </si>
  <si>
    <t>SALMA</t>
  </si>
  <si>
    <t xml:space="preserve"> ESPINOSA MARTÍNEZ</t>
  </si>
  <si>
    <t>ROSA MARÍA</t>
  </si>
  <si>
    <t xml:space="preserve"> FERNÁNDEZ CHICA</t>
  </si>
  <si>
    <t>CRISTINA</t>
  </si>
  <si>
    <t xml:space="preserve"> GONZALEZ MACIAS</t>
  </si>
  <si>
    <t>ALEJANDRO</t>
  </si>
  <si>
    <t xml:space="preserve"> GARCÍA LEÓN</t>
  </si>
  <si>
    <t>PAULA ROSA</t>
  </si>
  <si>
    <t>GONZÁLEZ PÁEZ</t>
  </si>
  <si>
    <t xml:space="preserve"> GUTIERREZ GONZALEZ</t>
  </si>
  <si>
    <t>CANDELA JAZMIN</t>
  </si>
  <si>
    <t xml:space="preserve"> HARANA MANCILLA</t>
  </si>
  <si>
    <t>RAFAEL</t>
  </si>
  <si>
    <t xml:space="preserve"> MORAZA VERGARA</t>
  </si>
  <si>
    <t>JOSÉ LUIS</t>
  </si>
  <si>
    <t xml:space="preserve"> OJEDA GARRIDO</t>
  </si>
  <si>
    <t>GERMAN</t>
  </si>
  <si>
    <t xml:space="preserve"> PONCE GARCÍA DE SOLA</t>
  </si>
  <si>
    <t>LUCÍA</t>
  </si>
  <si>
    <t xml:space="preserve"> TAMAYO BALOGH</t>
  </si>
  <si>
    <t>SAMUEL</t>
  </si>
  <si>
    <t xml:space="preserve">Tras dar un aviso en el sprint anterior sobre llegar a las 10 horas establecidas por semana, como mínimo, ha habido miembros que no han cumplido con sus 10 horas semanales. Por tanto, se ha decidido penalizar en rendimiento como ya se avisó a los miembros del grupo. Se quiere dejar claro que esta medida se ha tomado tras varias semanas sufirendo la misma situación en la que miembros trabajan menos horas de las establecidas, que terminan cubriendo otros compañeros. </t>
  </si>
  <si>
    <t>Samuel Tamayo Balogh ha invertido 6 horas en todo el tercer sprint.</t>
  </si>
  <si>
    <t>Rafael Harana Mancilla ha invertido 4 horas en todo el tercer sprint.</t>
  </si>
  <si>
    <t>La suma de porcentaje por encima de 100% se ha realizado en función de las horas invertidas al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</si>
</sst>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sz val="10"/>
      <color theme="1"/>
      <name val="Arial"/>
      <family val="2"/>
    </font>
    <font>
      <b/>
      <sz val="9"/>
      <color theme="1"/>
      <name val="Arial"/>
      <family val="2"/>
    </font>
    <font>
      <b/>
      <sz val="9"/>
      <color theme="1"/>
      <name val="Aptos Narrow"/>
      <family val="2"/>
      <scheme val="minor"/>
    </font>
    <font>
      <sz val="12"/>
      <color theme="1"/>
      <name val="Calibri"/>
      <family val="2"/>
    </font>
    <font>
      <b/>
      <u/>
      <sz val="11"/>
      <color theme="1"/>
      <name val="Aptos Narrow"/>
      <family val="2"/>
      <scheme val="minor"/>
    </font>
    <font>
      <sz val="7"/>
      <color rgb="FF262626"/>
      <name val="Arial"/>
      <family val="2"/>
    </font>
  </fonts>
  <fills count="4">
    <fill>
      <patternFill patternType="none"/>
    </fill>
    <fill>
      <patternFill patternType="gray125"/>
    </fill>
    <fill>
      <patternFill patternType="solid">
        <fgColor rgb="FFFFFFFF"/>
        <bgColor indexed="64"/>
      </patternFill>
    </fill>
    <fill>
      <patternFill patternType="solid">
        <fgColor rgb="FFF8F8F8"/>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0" borderId="1" xfId="0" applyFont="1" applyBorder="1" applyAlignment="1">
      <alignment horizontal="center" wrapText="1"/>
    </xf>
    <xf numFmtId="0" fontId="0" fillId="0" borderId="0" xfId="0" applyAlignment="1">
      <alignment horizontal="center" vertical="center"/>
    </xf>
    <xf numFmtId="9" fontId="2" fillId="0" borderId="1" xfId="1" applyFont="1" applyBorder="1" applyAlignment="1">
      <alignment horizontal="center" wrapText="1"/>
    </xf>
    <xf numFmtId="0" fontId="3" fillId="0" borderId="1" xfId="0" applyFont="1" applyBorder="1" applyAlignment="1">
      <alignment horizontal="center" vertical="center" wrapText="1"/>
    </xf>
    <xf numFmtId="0" fontId="4" fillId="0" borderId="0" xfId="0" applyFont="1" applyAlignment="1">
      <alignment vertical="center"/>
    </xf>
    <xf numFmtId="10" fontId="0" fillId="0" borderId="0" xfId="1" applyNumberFormat="1" applyFont="1" applyAlignment="1">
      <alignment horizontal="center" vertical="center"/>
    </xf>
    <xf numFmtId="10" fontId="0" fillId="0" borderId="0" xfId="0" applyNumberFormat="1" applyAlignment="1">
      <alignment horizontal="center" vertical="center"/>
    </xf>
    <xf numFmtId="0" fontId="0" fillId="0" borderId="0" xfId="0" applyAlignment="1">
      <alignment wrapText="1"/>
    </xf>
    <xf numFmtId="0" fontId="5" fillId="0" borderId="0" xfId="0" applyFont="1"/>
    <xf numFmtId="0" fontId="6" fillId="0" borderId="0" xfId="0" applyFont="1" applyAlignment="1">
      <alignment horizontal="center" vertical="center"/>
    </xf>
    <xf numFmtId="0" fontId="7" fillId="2" borderId="0" xfId="0" applyFont="1" applyFill="1" applyAlignment="1">
      <alignment horizontal="left" vertical="center" wrapText="1"/>
    </xf>
    <xf numFmtId="0" fontId="7" fillId="3" borderId="0" xfId="0" applyFont="1" applyFill="1" applyAlignment="1">
      <alignment horizontal="left" vertical="center" wrapText="1"/>
    </xf>
    <xf numFmtId="0" fontId="0" fillId="0" borderId="0" xfId="0" applyAlignment="1">
      <alignment horizontal="left" vertical="center" wrapText="1"/>
    </xf>
  </cellXfs>
  <cellStyles count="2">
    <cellStyle name="Normal" xfId="0" builtinId="0"/>
    <cellStyle name="Porcentaje" xfId="1" builtinId="5"/>
  </cellStyles>
  <dxfs count="8">
    <dxf>
      <fill>
        <patternFill>
          <bgColor rgb="FFFF9393"/>
        </patternFill>
      </fill>
    </dxf>
    <dxf>
      <fill>
        <patternFill>
          <bgColor rgb="FFFFFF00"/>
        </patternFill>
      </fill>
    </dxf>
    <dxf>
      <fill>
        <patternFill>
          <bgColor theme="9" tint="0.79998168889431442"/>
        </patternFill>
      </fill>
    </dxf>
    <dxf>
      <fill>
        <patternFill>
          <bgColor theme="0"/>
        </patternFill>
      </fill>
      <border>
        <left style="thin">
          <color theme="2"/>
        </left>
        <right style="thin">
          <color theme="2"/>
        </right>
        <top style="thin">
          <color theme="2"/>
        </top>
        <bottom style="thin">
          <color theme="2"/>
        </bottom>
      </border>
    </dxf>
    <dxf>
      <font>
        <color rgb="FF9C0006"/>
      </font>
      <fill>
        <patternFill>
          <bgColor rgb="FFFFC7CE"/>
        </patternFill>
      </fill>
    </dxf>
    <dxf>
      <font>
        <color theme="1"/>
      </font>
      <fill>
        <patternFill patternType="solid">
          <bgColor rgb="FFFFFF00"/>
        </patternFill>
      </fill>
    </dxf>
    <dxf>
      <font>
        <color theme="1"/>
      </font>
      <fill>
        <patternFill patternType="none">
          <bgColor auto="1"/>
        </patternFill>
      </fill>
    </dxf>
    <dxf>
      <font>
        <color theme="1"/>
      </font>
      <fill>
        <patternFill patternType="solid">
          <bgColor theme="9" tint="0.79998168889431442"/>
        </patternFill>
      </fill>
    </dxf>
  </dxfs>
  <tableStyles count="0" defaultTableStyle="TableStyleMedium2" defaultPivotStyle="PivotStyleLight16"/>
  <colors>
    <mruColors>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89C9-C95E-4402-8344-C5801FC30A20}">
  <dimension ref="A1:H39"/>
  <sheetViews>
    <sheetView tabSelected="1" workbookViewId="0">
      <selection activeCell="G27" sqref="G27"/>
    </sheetView>
  </sheetViews>
  <sheetFormatPr baseColWidth="10" defaultRowHeight="14.4" x14ac:dyDescent="0.3"/>
  <cols>
    <col min="1" max="1" width="16.109375" customWidth="1"/>
    <col min="2" max="2" width="15" customWidth="1"/>
    <col min="3" max="7" width="10.6640625" style="2" customWidth="1"/>
  </cols>
  <sheetData>
    <row r="1" spans="1:8" s="5" customFormat="1" ht="48.6" thickBot="1" x14ac:dyDescent="0.35">
      <c r="A1" s="4" t="s">
        <v>6</v>
      </c>
      <c r="B1" s="4" t="s">
        <v>7</v>
      </c>
      <c r="C1" s="4" t="s">
        <v>1</v>
      </c>
      <c r="D1" s="4" t="s">
        <v>2</v>
      </c>
      <c r="E1" s="4" t="s">
        <v>3</v>
      </c>
      <c r="F1" s="4" t="s">
        <v>4</v>
      </c>
      <c r="G1" s="4" t="s">
        <v>5</v>
      </c>
    </row>
    <row r="2" spans="1:8" ht="27.6" thickBot="1" x14ac:dyDescent="0.35">
      <c r="A2" s="1" t="s">
        <v>17</v>
      </c>
      <c r="B2" s="1" t="s">
        <v>16</v>
      </c>
      <c r="C2" s="3">
        <v>1</v>
      </c>
      <c r="D2" s="3">
        <v>1</v>
      </c>
      <c r="E2" s="3">
        <v>1</v>
      </c>
      <c r="F2" s="3">
        <v>1.1499999999999999</v>
      </c>
      <c r="G2" s="3">
        <v>1.05</v>
      </c>
      <c r="H2" s="11"/>
    </row>
    <row r="3" spans="1:8" ht="27.6" thickBot="1" x14ac:dyDescent="0.35">
      <c r="A3" s="1" t="s">
        <v>19</v>
      </c>
      <c r="B3" s="1" t="s">
        <v>18</v>
      </c>
      <c r="C3" s="3">
        <v>1</v>
      </c>
      <c r="D3" s="3">
        <v>1</v>
      </c>
      <c r="E3" s="3">
        <v>1</v>
      </c>
      <c r="F3" s="3">
        <v>1</v>
      </c>
      <c r="G3" s="3">
        <v>1.1200000000000001</v>
      </c>
      <c r="H3" s="11"/>
    </row>
    <row r="4" spans="1:8" ht="15" thickBot="1" x14ac:dyDescent="0.35">
      <c r="A4" s="1" t="s">
        <v>20</v>
      </c>
      <c r="B4" s="1" t="s">
        <v>31</v>
      </c>
      <c r="C4" s="3">
        <v>1</v>
      </c>
      <c r="D4" s="3">
        <v>1</v>
      </c>
      <c r="E4" s="3">
        <v>1</v>
      </c>
      <c r="F4" s="3">
        <v>1</v>
      </c>
      <c r="G4" s="3">
        <v>1</v>
      </c>
      <c r="H4" s="11"/>
    </row>
    <row r="5" spans="1:8" ht="27.6" thickBot="1" x14ac:dyDescent="0.35">
      <c r="A5" s="1" t="s">
        <v>30</v>
      </c>
      <c r="B5" s="1" t="s">
        <v>29</v>
      </c>
      <c r="C5" s="3">
        <v>1</v>
      </c>
      <c r="D5" s="3">
        <v>1</v>
      </c>
      <c r="E5" s="3">
        <v>1</v>
      </c>
      <c r="F5" s="3">
        <v>1.2</v>
      </c>
      <c r="G5" s="3">
        <v>1.05</v>
      </c>
      <c r="H5" s="11"/>
    </row>
    <row r="6" spans="1:8" ht="27.6" thickBot="1" x14ac:dyDescent="0.35">
      <c r="A6" s="1" t="s">
        <v>21</v>
      </c>
      <c r="B6" s="1" t="s">
        <v>28</v>
      </c>
      <c r="C6" s="3">
        <v>1</v>
      </c>
      <c r="D6" s="3">
        <v>1</v>
      </c>
      <c r="E6" s="3">
        <v>1</v>
      </c>
      <c r="F6" s="3">
        <v>1</v>
      </c>
      <c r="G6" s="3">
        <v>1</v>
      </c>
      <c r="H6" s="11"/>
    </row>
    <row r="7" spans="1:8" ht="27.6" thickBot="1" x14ac:dyDescent="0.35">
      <c r="A7" s="1" t="s">
        <v>22</v>
      </c>
      <c r="B7" s="1" t="s">
        <v>27</v>
      </c>
      <c r="C7" s="3">
        <v>1</v>
      </c>
      <c r="D7" s="3">
        <v>1</v>
      </c>
      <c r="E7" s="3">
        <v>1</v>
      </c>
      <c r="F7" s="3">
        <v>1.1000000000000001</v>
      </c>
      <c r="G7" s="3">
        <v>1</v>
      </c>
      <c r="H7" s="11"/>
    </row>
    <row r="8" spans="1:8" ht="27.6" thickBot="1" x14ac:dyDescent="0.35">
      <c r="A8" s="1" t="s">
        <v>23</v>
      </c>
      <c r="B8" s="1" t="s">
        <v>26</v>
      </c>
      <c r="C8" s="3">
        <v>1</v>
      </c>
      <c r="D8" s="3">
        <v>1</v>
      </c>
      <c r="E8" s="3">
        <v>1</v>
      </c>
      <c r="F8" s="3">
        <v>1</v>
      </c>
      <c r="G8" s="3">
        <v>1</v>
      </c>
      <c r="H8" s="11"/>
    </row>
    <row r="9" spans="1:8" ht="27.6" thickBot="1" x14ac:dyDescent="0.35">
      <c r="A9" s="1" t="s">
        <v>24</v>
      </c>
      <c r="B9" s="1" t="s">
        <v>25</v>
      </c>
      <c r="C9" s="3">
        <v>1</v>
      </c>
      <c r="D9" s="3">
        <v>1</v>
      </c>
      <c r="E9" s="3">
        <v>1</v>
      </c>
      <c r="F9" s="3">
        <v>1</v>
      </c>
      <c r="G9" s="3">
        <v>1.1399999999999999</v>
      </c>
      <c r="H9" s="11"/>
    </row>
    <row r="10" spans="1:8" ht="27.6" thickBot="1" x14ac:dyDescent="0.35">
      <c r="A10" s="1" t="s">
        <v>17</v>
      </c>
      <c r="B10" s="1" t="s">
        <v>32</v>
      </c>
      <c r="C10" s="3">
        <v>1</v>
      </c>
      <c r="D10" s="3">
        <v>1</v>
      </c>
      <c r="E10" s="3">
        <v>1</v>
      </c>
      <c r="F10" s="3">
        <v>1</v>
      </c>
      <c r="G10" s="3">
        <v>1</v>
      </c>
      <c r="H10" s="11"/>
    </row>
    <row r="11" spans="1:8" ht="27.6" thickBot="1" x14ac:dyDescent="0.35">
      <c r="A11" s="1" t="s">
        <v>34</v>
      </c>
      <c r="B11" s="1" t="s">
        <v>33</v>
      </c>
      <c r="C11" s="3">
        <v>1</v>
      </c>
      <c r="D11" s="3">
        <v>1</v>
      </c>
      <c r="E11" s="3">
        <v>1</v>
      </c>
      <c r="F11" s="3">
        <v>1</v>
      </c>
      <c r="G11" s="3">
        <v>1</v>
      </c>
      <c r="H11" s="11"/>
    </row>
    <row r="12" spans="1:8" ht="27.6" thickBot="1" x14ac:dyDescent="0.35">
      <c r="A12" s="1" t="s">
        <v>36</v>
      </c>
      <c r="B12" s="1" t="s">
        <v>35</v>
      </c>
      <c r="C12" s="3">
        <v>1</v>
      </c>
      <c r="D12" s="3">
        <v>1</v>
      </c>
      <c r="E12" s="3">
        <v>1</v>
      </c>
      <c r="F12" s="3">
        <v>1</v>
      </c>
      <c r="G12" s="3">
        <v>1.18</v>
      </c>
      <c r="H12" s="11"/>
    </row>
    <row r="13" spans="1:8" ht="27.6" thickBot="1" x14ac:dyDescent="0.35">
      <c r="A13" s="1" t="s">
        <v>38</v>
      </c>
      <c r="B13" s="1" t="s">
        <v>37</v>
      </c>
      <c r="C13" s="3">
        <v>1</v>
      </c>
      <c r="D13" s="3">
        <v>1</v>
      </c>
      <c r="E13" s="3">
        <v>1</v>
      </c>
      <c r="F13" s="3">
        <v>1.3</v>
      </c>
      <c r="G13" s="3">
        <v>1</v>
      </c>
      <c r="H13" s="11"/>
    </row>
    <row r="14" spans="1:8" ht="15" thickBot="1" x14ac:dyDescent="0.35">
      <c r="A14" s="1" t="s">
        <v>24</v>
      </c>
      <c r="B14" s="1" t="s">
        <v>41</v>
      </c>
      <c r="C14" s="3">
        <v>1</v>
      </c>
      <c r="D14" s="3">
        <v>1</v>
      </c>
      <c r="E14" s="3">
        <v>1</v>
      </c>
      <c r="F14" s="3">
        <v>1</v>
      </c>
      <c r="G14" s="3">
        <v>1</v>
      </c>
      <c r="H14" s="11"/>
    </row>
    <row r="15" spans="1:8" ht="27.6" thickBot="1" x14ac:dyDescent="0.35">
      <c r="A15" s="1" t="s">
        <v>40</v>
      </c>
      <c r="B15" s="1" t="s">
        <v>39</v>
      </c>
      <c r="C15" s="3">
        <v>1</v>
      </c>
      <c r="D15" s="3">
        <v>1</v>
      </c>
      <c r="E15" s="3">
        <v>1</v>
      </c>
      <c r="F15" s="3">
        <v>1</v>
      </c>
      <c r="G15" s="3">
        <v>1.06</v>
      </c>
      <c r="H15" s="11"/>
    </row>
    <row r="16" spans="1:8" ht="27.6" thickBot="1" x14ac:dyDescent="0.35">
      <c r="A16" s="1" t="s">
        <v>42</v>
      </c>
      <c r="B16" s="1" t="s">
        <v>43</v>
      </c>
      <c r="C16" s="3">
        <v>1</v>
      </c>
      <c r="D16" s="3">
        <v>1</v>
      </c>
      <c r="E16" s="3">
        <v>1</v>
      </c>
      <c r="F16" s="3">
        <v>1</v>
      </c>
      <c r="G16" s="3">
        <v>1.08</v>
      </c>
      <c r="H16" s="11"/>
    </row>
    <row r="17" spans="1:8" ht="27.6" thickBot="1" x14ac:dyDescent="0.35">
      <c r="A17" s="1" t="s">
        <v>45</v>
      </c>
      <c r="B17" s="1" t="s">
        <v>44</v>
      </c>
      <c r="C17" s="3">
        <v>1</v>
      </c>
      <c r="D17" s="3">
        <v>1</v>
      </c>
      <c r="E17" s="3">
        <v>1</v>
      </c>
      <c r="F17" s="3">
        <v>1.2</v>
      </c>
      <c r="G17" s="3">
        <v>1.06</v>
      </c>
      <c r="H17" s="11"/>
    </row>
    <row r="18" spans="1:8" ht="27.6" thickBot="1" x14ac:dyDescent="0.35">
      <c r="A18" s="1" t="s">
        <v>47</v>
      </c>
      <c r="B18" s="1" t="s">
        <v>46</v>
      </c>
      <c r="C18" s="3">
        <v>1</v>
      </c>
      <c r="D18" s="3">
        <v>1</v>
      </c>
      <c r="E18" s="3">
        <v>1</v>
      </c>
      <c r="F18" s="3">
        <v>0.2</v>
      </c>
      <c r="G18" s="3">
        <v>0</v>
      </c>
      <c r="H18" s="11"/>
    </row>
    <row r="19" spans="1:8" ht="27.6" thickBot="1" x14ac:dyDescent="0.35">
      <c r="A19" s="1" t="s">
        <v>49</v>
      </c>
      <c r="B19" s="1" t="s">
        <v>48</v>
      </c>
      <c r="C19" s="3">
        <v>1</v>
      </c>
      <c r="D19" s="3">
        <v>1</v>
      </c>
      <c r="E19" s="3">
        <v>1</v>
      </c>
      <c r="F19" s="3">
        <v>1.3</v>
      </c>
      <c r="G19" s="3">
        <v>1.18</v>
      </c>
      <c r="H19" s="11"/>
    </row>
    <row r="20" spans="1:8" ht="27.6" thickBot="1" x14ac:dyDescent="0.35">
      <c r="A20" s="1" t="s">
        <v>51</v>
      </c>
      <c r="B20" s="1" t="s">
        <v>50</v>
      </c>
      <c r="C20" s="3">
        <v>1</v>
      </c>
      <c r="D20" s="3">
        <v>1</v>
      </c>
      <c r="E20" s="3">
        <v>1</v>
      </c>
      <c r="F20" s="3">
        <v>1</v>
      </c>
      <c r="G20" s="3">
        <v>1</v>
      </c>
      <c r="H20" s="11"/>
    </row>
    <row r="21" spans="1:8" ht="40.799999999999997" thickBot="1" x14ac:dyDescent="0.35">
      <c r="A21" s="1" t="s">
        <v>53</v>
      </c>
      <c r="B21" s="1" t="s">
        <v>52</v>
      </c>
      <c r="C21" s="3">
        <v>1</v>
      </c>
      <c r="D21" s="3">
        <v>1</v>
      </c>
      <c r="E21" s="3">
        <v>1</v>
      </c>
      <c r="F21" s="3">
        <v>1.2</v>
      </c>
      <c r="G21" s="3">
        <v>1</v>
      </c>
      <c r="H21" s="11"/>
    </row>
    <row r="22" spans="1:8" ht="27.6" thickBot="1" x14ac:dyDescent="0.35">
      <c r="A22" s="1" t="s">
        <v>55</v>
      </c>
      <c r="B22" s="1" t="s">
        <v>54</v>
      </c>
      <c r="C22" s="3">
        <v>1</v>
      </c>
      <c r="D22" s="3">
        <v>1</v>
      </c>
      <c r="E22" s="3">
        <v>1</v>
      </c>
      <c r="F22" s="3">
        <v>0.35</v>
      </c>
      <c r="G22" s="3">
        <v>1.08</v>
      </c>
      <c r="H22" s="12"/>
    </row>
    <row r="23" spans="1:8" ht="15" thickBot="1" x14ac:dyDescent="0.35">
      <c r="A23" s="1"/>
      <c r="B23" s="1"/>
      <c r="C23" s="3"/>
      <c r="D23" s="3"/>
      <c r="E23" s="3"/>
      <c r="F23" s="3"/>
      <c r="G23" s="3"/>
    </row>
    <row r="24" spans="1:8" ht="15" thickBot="1" x14ac:dyDescent="0.35">
      <c r="A24" s="1"/>
      <c r="B24" s="1"/>
      <c r="C24" s="3"/>
      <c r="D24" s="3"/>
      <c r="E24" s="3"/>
      <c r="F24" s="3"/>
      <c r="G24" s="3"/>
    </row>
    <row r="25" spans="1:8" ht="15" thickBot="1" x14ac:dyDescent="0.35">
      <c r="A25" s="1"/>
      <c r="C25" s="3"/>
      <c r="D25" s="3"/>
      <c r="E25" s="3"/>
      <c r="F25" s="3"/>
      <c r="G25" s="3"/>
    </row>
    <row r="26" spans="1:8" ht="15" thickBot="1" x14ac:dyDescent="0.35">
      <c r="A26" s="1"/>
      <c r="B26" s="1"/>
      <c r="C26" s="3"/>
      <c r="D26" s="3"/>
      <c r="E26" s="3"/>
      <c r="F26" s="3"/>
      <c r="G26" s="3"/>
    </row>
    <row r="28" spans="1:8" ht="28.8" x14ac:dyDescent="0.3">
      <c r="A28" s="8" t="s">
        <v>9</v>
      </c>
      <c r="B28" s="2">
        <f>COUNTA(A2:A26)</f>
        <v>21</v>
      </c>
    </row>
    <row r="29" spans="1:8" x14ac:dyDescent="0.3">
      <c r="A29" t="s">
        <v>8</v>
      </c>
      <c r="C29" s="6">
        <f>SUM(C2:C26)/$B$28</f>
        <v>1</v>
      </c>
      <c r="D29" s="6">
        <f t="shared" ref="D29:G29" si="0">SUM(D2:D26)/$B$28</f>
        <v>1</v>
      </c>
      <c r="E29" s="6">
        <f t="shared" si="0"/>
        <v>1</v>
      </c>
      <c r="F29" s="6">
        <f t="shared" si="0"/>
        <v>1</v>
      </c>
      <c r="G29" s="6">
        <f t="shared" si="0"/>
        <v>1</v>
      </c>
    </row>
    <row r="30" spans="1:8" x14ac:dyDescent="0.3">
      <c r="A30" t="s">
        <v>10</v>
      </c>
      <c r="C30" s="7">
        <f>1-C29</f>
        <v>0</v>
      </c>
      <c r="D30" s="7">
        <f t="shared" ref="D30:G30" si="1">1-D29</f>
        <v>0</v>
      </c>
      <c r="E30" s="7">
        <f t="shared" si="1"/>
        <v>0</v>
      </c>
      <c r="F30" s="7">
        <f t="shared" si="1"/>
        <v>0</v>
      </c>
      <c r="G30" s="7">
        <f t="shared" si="1"/>
        <v>0</v>
      </c>
    </row>
    <row r="33" spans="1:7" x14ac:dyDescent="0.3">
      <c r="A33" s="10" t="s">
        <v>0</v>
      </c>
      <c r="B33" t="s">
        <v>11</v>
      </c>
    </row>
    <row r="34" spans="1:7" ht="79.5" customHeight="1" x14ac:dyDescent="0.3">
      <c r="B34" s="13" t="s">
        <v>13</v>
      </c>
      <c r="C34" s="13"/>
      <c r="D34" s="13"/>
      <c r="E34" s="13"/>
      <c r="F34" s="13"/>
      <c r="G34" s="13"/>
    </row>
    <row r="35" spans="1:7" ht="47.25" customHeight="1" x14ac:dyDescent="0.3">
      <c r="B35" s="13" t="s">
        <v>14</v>
      </c>
      <c r="C35" s="13"/>
      <c r="D35" s="13"/>
      <c r="E35" s="13"/>
      <c r="F35" s="13"/>
      <c r="G35" s="13"/>
    </row>
    <row r="36" spans="1:7" ht="44.25" customHeight="1" x14ac:dyDescent="0.3">
      <c r="B36" s="13" t="s">
        <v>15</v>
      </c>
      <c r="C36" s="13"/>
      <c r="D36" s="13"/>
      <c r="E36" s="13"/>
      <c r="F36" s="13"/>
      <c r="G36" s="13"/>
    </row>
    <row r="39" spans="1:7" ht="15.6" x14ac:dyDescent="0.3">
      <c r="D39" s="9"/>
    </row>
  </sheetData>
  <mergeCells count="3">
    <mergeCell ref="B34:G34"/>
    <mergeCell ref="B35:G35"/>
    <mergeCell ref="B36:G36"/>
  </mergeCells>
  <conditionalFormatting sqref="C29:G29">
    <cfRule type="cellIs" dxfId="7" priority="5" operator="equal">
      <formula>1</formula>
    </cfRule>
    <cfRule type="cellIs" dxfId="6" priority="6" operator="equal">
      <formula>0</formula>
    </cfRule>
    <cfRule type="cellIs" dxfId="5" priority="7" operator="lessThan">
      <formula>1</formula>
    </cfRule>
    <cfRule type="cellIs" dxfId="4" priority="8" operator="greaterThan">
      <formula>1</formula>
    </cfRule>
  </conditionalFormatting>
  <conditionalFormatting sqref="C30:G30">
    <cfRule type="cellIs" dxfId="3" priority="1" operator="equal">
      <formula>""</formula>
    </cfRule>
    <cfRule type="cellIs" dxfId="2" priority="2" operator="equal">
      <formula>0</formula>
    </cfRule>
    <cfRule type="cellIs" dxfId="1" priority="3" operator="greaterThan">
      <formula>0</formula>
    </cfRule>
    <cfRule type="cellIs" dxfId="0" priority="4"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6F382-02E1-40C2-A4CE-CF742186EEF1}">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D492-76AC-48CC-8E70-4FD580B74AA0}">
  <dimension ref="A1"/>
  <sheetViews>
    <sheetView workbookViewId="0"/>
  </sheetViews>
  <sheetFormatPr baseColWidth="10"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8AA91-50C5-45F4-80B4-D403EC3F6E09}">
  <dimension ref="A1"/>
  <sheetViews>
    <sheetView workbookViewId="0"/>
  </sheetViews>
  <sheetFormatPr baseColWidth="10" defaultRowHeight="14.4" x14ac:dyDescent="0.3"/>
  <sheetData>
    <row r="1" spans="1:1" x14ac:dyDescent="0.3">
      <c r="A1"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04E1-60A0-43FB-A9A1-0E8466BB8143}">
  <dimension ref="A1:A4"/>
  <sheetViews>
    <sheetView workbookViewId="0">
      <selection activeCell="N2" sqref="N2"/>
    </sheetView>
  </sheetViews>
  <sheetFormatPr baseColWidth="10" defaultRowHeight="14.4" x14ac:dyDescent="0.3"/>
  <sheetData>
    <row r="1" spans="1:1" x14ac:dyDescent="0.3">
      <c r="A1" t="s">
        <v>56</v>
      </c>
    </row>
    <row r="2" spans="1:1" x14ac:dyDescent="0.3">
      <c r="A2" t="s">
        <v>58</v>
      </c>
    </row>
    <row r="3" spans="1:1" x14ac:dyDescent="0.3">
      <c r="A3" t="s">
        <v>57</v>
      </c>
    </row>
    <row r="4" spans="1:1" x14ac:dyDescent="0.3">
      <c r="A4"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579F-62C1-4DAA-AEA7-548BB531F479}">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10EFF3F005184E83CCE9144B5B2AA8" ma:contentTypeVersion="10" ma:contentTypeDescription="Crear nuevo documento." ma:contentTypeScope="" ma:versionID="84c406f50c877d11ac04333511c4593d">
  <xsd:schema xmlns:xsd="http://www.w3.org/2001/XMLSchema" xmlns:xs="http://www.w3.org/2001/XMLSchema" xmlns:p="http://schemas.microsoft.com/office/2006/metadata/properties" xmlns:ns2="8ec00d9b-94f7-475a-85dc-f517f90086c9" xmlns:ns3="b7f08318-9e67-4cf6-83a6-3e1ba6c01486" targetNamespace="http://schemas.microsoft.com/office/2006/metadata/properties" ma:root="true" ma:fieldsID="b4e59f9abc24438d51fededa65cb1325" ns2:_="" ns3:_="">
    <xsd:import namespace="8ec00d9b-94f7-475a-85dc-f517f90086c9"/>
    <xsd:import namespace="b7f08318-9e67-4cf6-83a6-3e1ba6c014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c00d9b-94f7-475a-85dc-f517f9008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543dc2c-c282-4bcc-a46d-38262559636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f08318-9e67-4cf6-83a6-3e1ba6c014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8398d4-d940-4deb-8be8-a2c9976ebb15}" ma:internalName="TaxCatchAll" ma:showField="CatchAllData" ma:web="b7f08318-9e67-4cf6-83a6-3e1ba6c014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c00d9b-94f7-475a-85dc-f517f90086c9">
      <Terms xmlns="http://schemas.microsoft.com/office/infopath/2007/PartnerControls"/>
    </lcf76f155ced4ddcb4097134ff3c332f>
    <TaxCatchAll xmlns="b7f08318-9e67-4cf6-83a6-3e1ba6c01486" xsi:nil="true"/>
  </documentManagement>
</p:properties>
</file>

<file path=customXml/itemProps1.xml><?xml version="1.0" encoding="utf-8"?>
<ds:datastoreItem xmlns:ds="http://schemas.openxmlformats.org/officeDocument/2006/customXml" ds:itemID="{2238EB34-5156-4786-8F4E-F2B72B06D9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c00d9b-94f7-475a-85dc-f517f90086c9"/>
    <ds:schemaRef ds:uri="b7f08318-9e67-4cf6-83a6-3e1ba6c014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4B272D-551A-4AF9-B220-C688C9745ED1}">
  <ds:schemaRefs>
    <ds:schemaRef ds:uri="http://schemas.microsoft.com/sharepoint/v3/contenttype/forms"/>
  </ds:schemaRefs>
</ds:datastoreItem>
</file>

<file path=customXml/itemProps3.xml><?xml version="1.0" encoding="utf-8"?>
<ds:datastoreItem xmlns:ds="http://schemas.openxmlformats.org/officeDocument/2006/customXml" ds:itemID="{0D0D844A-E87E-42E2-B155-132CABE67861}">
  <ds:schemaRefs>
    <ds:schemaRef ds:uri="http://schemas.microsoft.com/office/2006/metadata/properties"/>
    <ds:schemaRef ds:uri="http://schemas.microsoft.com/office/infopath/2007/PartnerControls"/>
    <ds:schemaRef ds:uri="8ec00d9b-94f7-475a-85dc-f517f90086c9"/>
    <ds:schemaRef ds:uri="b7f08318-9e67-4cf6-83a6-3e1ba6c014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Contribución a los entregables</vt:lpstr>
      <vt:lpstr>Comentarios sobre #DP</vt:lpstr>
      <vt:lpstr>Comentarios sobre #S1</vt:lpstr>
      <vt:lpstr>Comentarios sobre #S2</vt:lpstr>
      <vt:lpstr>Comentarios sobre #S3</vt:lpstr>
      <vt:lpstr>Comentarios sobre #PPL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FERNANDEZ MONTES</dc:creator>
  <cp:lastModifiedBy>guillermo Cir</cp:lastModifiedBy>
  <dcterms:created xsi:type="dcterms:W3CDTF">2026-02-12T07:56:44Z</dcterms:created>
  <dcterms:modified xsi:type="dcterms:W3CDTF">2026-05-13T16:01:49Z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0x010100D210EFF3F005184E83CCE9144B5B2AA8</vt:lpwstr>
  </property>
</Properties>
</file>